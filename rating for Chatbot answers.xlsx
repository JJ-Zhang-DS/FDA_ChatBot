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njiezhang/Downloads/"/>
    </mc:Choice>
  </mc:AlternateContent>
  <xr:revisionPtr revIDLastSave="0" documentId="13_ncr:1_{D84BF864-3D82-9B4E-B857-0AA2F835D4C3}" xr6:coauthVersionLast="47" xr6:coauthVersionMax="47" xr10:uidLastSave="{00000000-0000-0000-0000-000000000000}"/>
  <bookViews>
    <workbookView xWindow="-38400" yWindow="-8780" windowWidth="38400" windowHeight="19720" activeTab="2" xr2:uid="{00000000-000D-0000-FFFF-FFFF00000000}"/>
  </bookViews>
  <sheets>
    <sheet name="Shuming" sheetId="1" r:id="rId1"/>
    <sheet name="JJ" sheetId="2" r:id="rId2"/>
    <sheet name="sum" sheetId="3" r:id="rId3"/>
  </sheets>
  <definedNames>
    <definedName name="_xlnm._FilterDatabase" localSheetId="2" hidden="1">sum!$A$1:$H$21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3" i="3"/>
  <c r="E3" i="3"/>
  <c r="F3" i="3"/>
  <c r="G3" i="3"/>
  <c r="E2" i="3"/>
  <c r="F2" i="3"/>
  <c r="G2" i="3"/>
  <c r="D2" i="3"/>
  <c r="I3" i="2"/>
  <c r="I4" i="2"/>
  <c r="I5" i="2"/>
  <c r="I6" i="2"/>
  <c r="I7" i="2"/>
  <c r="I8" i="2"/>
  <c r="I9" i="2"/>
  <c r="I10" i="2"/>
  <c r="I11" i="2"/>
  <c r="I2" i="2"/>
  <c r="E3" i="2"/>
  <c r="E4" i="2"/>
  <c r="E5" i="2"/>
  <c r="E6" i="2"/>
  <c r="E7" i="2"/>
  <c r="E8" i="2"/>
  <c r="E9" i="2"/>
  <c r="E10" i="2"/>
  <c r="E11" i="2"/>
  <c r="E2" i="2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<sst xmlns="http://schemas.openxmlformats.org/spreadsheetml/2006/main" count="67" uniqueCount="30">
  <si>
    <t>Answer to Question</t>
  </si>
  <si>
    <t xml:space="preserve">version 1 accuracy  </t>
  </si>
  <si>
    <t>v 1  Relevancy</t>
  </si>
  <si>
    <t xml:space="preserve">v 1 Fluency </t>
  </si>
  <si>
    <t>V 1 Total</t>
  </si>
  <si>
    <t xml:space="preserve">version 2 accuracy  </t>
  </si>
  <si>
    <t>version 2  Relevancy</t>
  </si>
  <si>
    <t xml:space="preserve">version 2 Fluency </t>
  </si>
  <si>
    <t>Version 2 Total</t>
  </si>
  <si>
    <t>Yes</t>
  </si>
  <si>
    <t>Relevancy</t>
  </si>
  <si>
    <t>Overall</t>
  </si>
  <si>
    <t>No</t>
  </si>
  <si>
    <t>Retrieval_Time(s)</t>
  </si>
  <si>
    <t>No.</t>
  </si>
  <si>
    <t>Question</t>
  </si>
  <si>
    <t xml:space="preserve">What are adaptive designs for medical device clinical study
</t>
  </si>
  <si>
    <t xml:space="preserve">How treatment policy strategy is used for Addressing Intercurrent Events when Defining the Clinical Question of Interest
</t>
  </si>
  <si>
    <t xml:space="preserve">What is a predictive distribution?
</t>
  </si>
  <si>
    <t xml:space="preserve">What is exchangeability?
</t>
  </si>
  <si>
    <t xml:space="preserve">How to determine the sample size when using Bayesian method for a clinical trial:
</t>
  </si>
  <si>
    <t xml:space="preserve">What are Noninferiority Trials
</t>
  </si>
  <si>
    <t xml:space="preserve">What are the methods for the calculation of the between subject coefficient of variation as stated in SOP- BMD-4002?
</t>
  </si>
  <si>
    <t xml:space="preserve">What level of precision of PK Parameters from WinNonlin is needed for PK reporting?
</t>
  </si>
  <si>
    <t>List Non-numeric PK Concentration values and their meaning</t>
  </si>
  <si>
    <t xml:space="preserve">What are the Trial Master File content and responsible role related to required documentation for randomization process?
</t>
  </si>
  <si>
    <t>Accuracy</t>
  </si>
  <si>
    <t>Fluency</t>
  </si>
  <si>
    <t>Cos_similarity</t>
  </si>
  <si>
    <t>RAG_used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</si>
</sst>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6273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workbookViewId="0">
      <selection sqref="A1:I1"/>
    </sheetView>
  </sheetViews>
  <sheetFormatPr baseColWidth="10" defaultColWidth="12.6640625" defaultRowHeight="15.75" customHeight="1" x14ac:dyDescent="0.15"/>
  <cols>
    <col min="2" max="2" width="15.1640625" customWidth="1"/>
    <col min="4" max="4" width="9.832031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>
        <v>1</v>
      </c>
      <c r="B2" s="1">
        <v>5</v>
      </c>
      <c r="C2" s="1">
        <v>4</v>
      </c>
      <c r="D2" s="1">
        <v>5</v>
      </c>
      <c r="E2" s="1">
        <f t="shared" ref="E2:E11" si="0">SUM(B2:D2)</f>
        <v>14</v>
      </c>
      <c r="F2" s="1">
        <v>5</v>
      </c>
      <c r="G2" s="1">
        <v>5</v>
      </c>
      <c r="H2" s="1">
        <v>5</v>
      </c>
      <c r="I2" s="1">
        <f t="shared" ref="I2:I11" si="1">F2+G2+H2</f>
        <v>15</v>
      </c>
    </row>
    <row r="3" spans="1:9" ht="15.75" customHeight="1" x14ac:dyDescent="0.15">
      <c r="A3" s="1">
        <v>2</v>
      </c>
      <c r="B3" s="1">
        <v>3</v>
      </c>
      <c r="C3" s="1">
        <v>2</v>
      </c>
      <c r="D3" s="1">
        <v>5</v>
      </c>
      <c r="E3" s="1">
        <f t="shared" si="0"/>
        <v>10</v>
      </c>
      <c r="F3" s="1">
        <v>5</v>
      </c>
      <c r="G3" s="1">
        <v>5</v>
      </c>
      <c r="H3" s="1">
        <v>5</v>
      </c>
      <c r="I3" s="1">
        <f t="shared" si="1"/>
        <v>15</v>
      </c>
    </row>
    <row r="4" spans="1:9" ht="15.75" customHeight="1" x14ac:dyDescent="0.15">
      <c r="A4" s="1">
        <v>3</v>
      </c>
      <c r="B4" s="1">
        <v>5</v>
      </c>
      <c r="C4" s="1">
        <v>2</v>
      </c>
      <c r="D4" s="1">
        <v>5</v>
      </c>
      <c r="E4" s="1">
        <f t="shared" si="0"/>
        <v>12</v>
      </c>
      <c r="F4" s="1">
        <v>5</v>
      </c>
      <c r="G4" s="1">
        <v>3</v>
      </c>
      <c r="H4" s="1">
        <v>5</v>
      </c>
      <c r="I4" s="1">
        <f t="shared" si="1"/>
        <v>13</v>
      </c>
    </row>
    <row r="5" spans="1:9" ht="15.75" customHeight="1" x14ac:dyDescent="0.15">
      <c r="A5" s="1">
        <v>4</v>
      </c>
      <c r="B5" s="1">
        <v>5</v>
      </c>
      <c r="C5" s="1">
        <v>4</v>
      </c>
      <c r="D5" s="1">
        <v>5</v>
      </c>
      <c r="E5" s="1">
        <f t="shared" si="0"/>
        <v>14</v>
      </c>
      <c r="F5" s="1">
        <v>5</v>
      </c>
      <c r="G5" s="1">
        <v>5</v>
      </c>
      <c r="H5" s="1">
        <v>5</v>
      </c>
      <c r="I5" s="1">
        <f t="shared" si="1"/>
        <v>15</v>
      </c>
    </row>
    <row r="6" spans="1:9" ht="15.75" customHeight="1" x14ac:dyDescent="0.15">
      <c r="A6" s="1">
        <v>5</v>
      </c>
      <c r="B6" s="1">
        <v>5</v>
      </c>
      <c r="C6" s="1">
        <v>5</v>
      </c>
      <c r="D6" s="1">
        <v>5</v>
      </c>
      <c r="E6" s="1">
        <f t="shared" si="0"/>
        <v>15</v>
      </c>
      <c r="F6" s="1">
        <v>5</v>
      </c>
      <c r="G6" s="1">
        <v>4</v>
      </c>
      <c r="H6" s="1">
        <v>5</v>
      </c>
      <c r="I6" s="1">
        <f t="shared" si="1"/>
        <v>14</v>
      </c>
    </row>
    <row r="7" spans="1:9" ht="15.75" customHeight="1" x14ac:dyDescent="0.15">
      <c r="A7" s="1">
        <v>6</v>
      </c>
      <c r="B7" s="1">
        <v>5</v>
      </c>
      <c r="C7" s="1">
        <v>5</v>
      </c>
      <c r="D7" s="1">
        <v>5</v>
      </c>
      <c r="E7" s="1">
        <f t="shared" si="0"/>
        <v>15</v>
      </c>
      <c r="F7" s="1">
        <v>5</v>
      </c>
      <c r="G7" s="1">
        <v>5</v>
      </c>
      <c r="H7" s="1">
        <v>5</v>
      </c>
      <c r="I7" s="1">
        <f t="shared" si="1"/>
        <v>15</v>
      </c>
    </row>
    <row r="8" spans="1:9" ht="15.75" customHeight="1" x14ac:dyDescent="0.15">
      <c r="A8" s="1">
        <v>7</v>
      </c>
      <c r="B8" s="1">
        <v>3</v>
      </c>
      <c r="C8" s="1">
        <v>0</v>
      </c>
      <c r="D8" s="1">
        <v>5</v>
      </c>
      <c r="E8" s="1">
        <f t="shared" si="0"/>
        <v>8</v>
      </c>
      <c r="F8" s="1">
        <v>5</v>
      </c>
      <c r="G8" s="1">
        <v>5</v>
      </c>
      <c r="H8" s="1">
        <v>5</v>
      </c>
      <c r="I8" s="1">
        <f t="shared" si="1"/>
        <v>15</v>
      </c>
    </row>
    <row r="9" spans="1:9" ht="15.75" customHeight="1" x14ac:dyDescent="0.15">
      <c r="A9" s="1">
        <v>8</v>
      </c>
      <c r="B9" s="1">
        <v>3</v>
      </c>
      <c r="C9" s="1">
        <v>0</v>
      </c>
      <c r="D9" s="1">
        <v>5</v>
      </c>
      <c r="E9" s="1">
        <f t="shared" si="0"/>
        <v>8</v>
      </c>
      <c r="F9" s="1">
        <v>5</v>
      </c>
      <c r="G9" s="1">
        <v>5</v>
      </c>
      <c r="H9" s="1">
        <v>5</v>
      </c>
      <c r="I9" s="1">
        <f t="shared" si="1"/>
        <v>15</v>
      </c>
    </row>
    <row r="10" spans="1:9" ht="15.75" customHeight="1" x14ac:dyDescent="0.15">
      <c r="A10" s="1">
        <v>9</v>
      </c>
      <c r="B10" s="1">
        <v>3</v>
      </c>
      <c r="C10" s="1">
        <v>0</v>
      </c>
      <c r="D10" s="1">
        <v>5</v>
      </c>
      <c r="E10" s="1">
        <f t="shared" si="0"/>
        <v>8</v>
      </c>
      <c r="F10" s="1">
        <v>5</v>
      </c>
      <c r="G10" s="1">
        <v>5</v>
      </c>
      <c r="H10" s="1">
        <v>5</v>
      </c>
      <c r="I10" s="1">
        <f t="shared" si="1"/>
        <v>15</v>
      </c>
    </row>
    <row r="11" spans="1:9" ht="15.75" customHeight="1" x14ac:dyDescent="0.15">
      <c r="A11" s="1">
        <v>10</v>
      </c>
      <c r="B11" s="1">
        <v>5</v>
      </c>
      <c r="C11" s="1">
        <v>0</v>
      </c>
      <c r="D11" s="1">
        <v>5</v>
      </c>
      <c r="E11" s="1">
        <f t="shared" si="0"/>
        <v>10</v>
      </c>
      <c r="F11" s="1">
        <v>4</v>
      </c>
      <c r="G11" s="1">
        <v>5</v>
      </c>
      <c r="H11" s="1">
        <v>5</v>
      </c>
      <c r="I11" s="1">
        <f t="shared" si="1"/>
        <v>14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"/>
  <sheetViews>
    <sheetView zoomScale="164" workbookViewId="0">
      <selection sqref="A1:I11"/>
    </sheetView>
  </sheetViews>
  <sheetFormatPr baseColWidth="10" defaultColWidth="12.6640625" defaultRowHeight="15.75" customHeight="1" x14ac:dyDescent="0.15"/>
  <cols>
    <col min="9" max="9" width="17.6640625" customWidth="1"/>
  </cols>
  <sheetData>
    <row r="1" spans="1:9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 x14ac:dyDescent="0.15">
      <c r="A2">
        <v>1</v>
      </c>
      <c r="B2">
        <v>4</v>
      </c>
      <c r="C2">
        <v>5</v>
      </c>
      <c r="D2">
        <v>4</v>
      </c>
      <c r="E2">
        <f>SUM(B2:D2)</f>
        <v>13</v>
      </c>
      <c r="F2">
        <v>5</v>
      </c>
      <c r="G2">
        <v>5</v>
      </c>
      <c r="H2">
        <v>5</v>
      </c>
      <c r="I2">
        <f>SUM(F2:H2)</f>
        <v>15</v>
      </c>
    </row>
    <row r="3" spans="1:9" ht="15.75" customHeight="1" x14ac:dyDescent="0.15">
      <c r="A3">
        <v>2</v>
      </c>
      <c r="B3">
        <v>3</v>
      </c>
      <c r="C3">
        <v>5</v>
      </c>
      <c r="D3">
        <v>3</v>
      </c>
      <c r="E3">
        <f t="shared" ref="E3:E11" si="0">SUM(B3:D3)</f>
        <v>11</v>
      </c>
      <c r="F3">
        <v>5</v>
      </c>
      <c r="G3">
        <v>5</v>
      </c>
      <c r="H3">
        <v>5</v>
      </c>
      <c r="I3">
        <f t="shared" ref="I3:I11" si="1">SUM(F3:H3)</f>
        <v>15</v>
      </c>
    </row>
    <row r="4" spans="1:9" ht="15.75" customHeight="1" x14ac:dyDescent="0.15">
      <c r="A4">
        <v>3</v>
      </c>
      <c r="B4">
        <v>5</v>
      </c>
      <c r="C4">
        <v>4</v>
      </c>
      <c r="D4">
        <v>5</v>
      </c>
      <c r="E4">
        <f t="shared" si="0"/>
        <v>14</v>
      </c>
      <c r="F4">
        <v>5</v>
      </c>
      <c r="G4">
        <v>5</v>
      </c>
      <c r="H4">
        <v>5</v>
      </c>
      <c r="I4">
        <f t="shared" si="1"/>
        <v>15</v>
      </c>
    </row>
    <row r="5" spans="1:9" ht="15.75" customHeight="1" x14ac:dyDescent="0.15">
      <c r="A5">
        <v>4</v>
      </c>
      <c r="B5">
        <v>5</v>
      </c>
      <c r="C5">
        <v>3</v>
      </c>
      <c r="D5">
        <v>5</v>
      </c>
      <c r="E5">
        <f t="shared" si="0"/>
        <v>13</v>
      </c>
      <c r="F5">
        <v>5</v>
      </c>
      <c r="G5">
        <v>5</v>
      </c>
      <c r="H5">
        <v>5</v>
      </c>
      <c r="I5">
        <f t="shared" si="1"/>
        <v>15</v>
      </c>
    </row>
    <row r="6" spans="1:9" ht="15.75" customHeight="1" x14ac:dyDescent="0.15">
      <c r="A6">
        <v>5</v>
      </c>
      <c r="B6">
        <v>5</v>
      </c>
      <c r="C6">
        <v>5</v>
      </c>
      <c r="D6">
        <v>5</v>
      </c>
      <c r="E6">
        <f t="shared" si="0"/>
        <v>15</v>
      </c>
      <c r="F6">
        <v>5</v>
      </c>
      <c r="G6">
        <v>5</v>
      </c>
      <c r="H6">
        <v>5</v>
      </c>
      <c r="I6">
        <f t="shared" si="1"/>
        <v>15</v>
      </c>
    </row>
    <row r="7" spans="1:9" ht="15.75" customHeight="1" x14ac:dyDescent="0.15">
      <c r="A7">
        <v>6</v>
      </c>
      <c r="B7">
        <v>4</v>
      </c>
      <c r="C7">
        <v>4</v>
      </c>
      <c r="D7">
        <v>5</v>
      </c>
      <c r="E7">
        <f t="shared" si="0"/>
        <v>13</v>
      </c>
      <c r="F7">
        <v>5</v>
      </c>
      <c r="G7">
        <v>5</v>
      </c>
      <c r="H7">
        <v>5</v>
      </c>
      <c r="I7">
        <f t="shared" si="1"/>
        <v>15</v>
      </c>
    </row>
    <row r="8" spans="1:9" ht="15.75" customHeight="1" x14ac:dyDescent="0.15">
      <c r="A8">
        <v>7</v>
      </c>
      <c r="B8">
        <v>0</v>
      </c>
      <c r="C8">
        <v>1</v>
      </c>
      <c r="D8">
        <v>1</v>
      </c>
      <c r="E8">
        <f t="shared" si="0"/>
        <v>2</v>
      </c>
      <c r="F8">
        <v>5</v>
      </c>
      <c r="G8">
        <v>5</v>
      </c>
      <c r="H8">
        <v>5</v>
      </c>
      <c r="I8">
        <f t="shared" si="1"/>
        <v>15</v>
      </c>
    </row>
    <row r="9" spans="1:9" ht="15.75" customHeight="1" x14ac:dyDescent="0.15">
      <c r="A9">
        <v>8</v>
      </c>
      <c r="B9">
        <v>0</v>
      </c>
      <c r="C9">
        <v>1</v>
      </c>
      <c r="D9">
        <v>1</v>
      </c>
      <c r="E9">
        <f t="shared" si="0"/>
        <v>2</v>
      </c>
      <c r="F9">
        <v>5</v>
      </c>
      <c r="G9">
        <v>5</v>
      </c>
      <c r="H9">
        <v>5</v>
      </c>
      <c r="I9">
        <f t="shared" si="1"/>
        <v>15</v>
      </c>
    </row>
    <row r="10" spans="1:9" ht="15.75" customHeight="1" x14ac:dyDescent="0.15">
      <c r="A10">
        <v>9</v>
      </c>
      <c r="B10">
        <v>0</v>
      </c>
      <c r="C10">
        <v>1</v>
      </c>
      <c r="D10">
        <v>1</v>
      </c>
      <c r="E10">
        <f t="shared" si="0"/>
        <v>2</v>
      </c>
      <c r="F10">
        <v>5</v>
      </c>
      <c r="G10">
        <v>5</v>
      </c>
      <c r="H10">
        <v>5</v>
      </c>
      <c r="I10">
        <f t="shared" si="1"/>
        <v>15</v>
      </c>
    </row>
    <row r="11" spans="1:9" ht="15.75" customHeight="1" x14ac:dyDescent="0.15">
      <c r="A11">
        <v>10</v>
      </c>
      <c r="B11">
        <v>3</v>
      </c>
      <c r="C11">
        <v>4</v>
      </c>
      <c r="D11">
        <v>4</v>
      </c>
      <c r="E11">
        <f t="shared" si="0"/>
        <v>11</v>
      </c>
      <c r="F11">
        <v>4</v>
      </c>
      <c r="G11">
        <v>4</v>
      </c>
      <c r="H11">
        <v>5</v>
      </c>
      <c r="I11">
        <f t="shared" si="1"/>
        <v>13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94B9-5402-C548-AF95-9B906B1554EA}">
  <dimension ref="A1:I21"/>
  <sheetViews>
    <sheetView tabSelected="1" topLeftCell="A9" zoomScale="150" workbookViewId="0">
      <selection activeCell="C1" sqref="C1"/>
    </sheetView>
  </sheetViews>
  <sheetFormatPr baseColWidth="10" defaultRowHeight="13" x14ac:dyDescent="0.15"/>
  <cols>
    <col min="2" max="2" width="67.6640625" customWidth="1"/>
    <col min="3" max="3" width="14.6640625" customWidth="1"/>
  </cols>
  <sheetData>
    <row r="1" spans="1:9" x14ac:dyDescent="0.15">
      <c r="A1" s="2" t="s">
        <v>14</v>
      </c>
      <c r="B1" s="2" t="s">
        <v>15</v>
      </c>
      <c r="C1" s="2" t="s">
        <v>29</v>
      </c>
      <c r="D1" s="2" t="s">
        <v>26</v>
      </c>
      <c r="E1" s="2" t="s">
        <v>10</v>
      </c>
      <c r="F1" s="2" t="s">
        <v>27</v>
      </c>
      <c r="G1" s="2" t="s">
        <v>11</v>
      </c>
      <c r="H1" s="2" t="s">
        <v>28</v>
      </c>
      <c r="I1" s="2" t="s">
        <v>13</v>
      </c>
    </row>
    <row r="2" spans="1:9" ht="28" x14ac:dyDescent="0.15">
      <c r="A2">
        <v>1</v>
      </c>
      <c r="B2" s="3" t="s">
        <v>16</v>
      </c>
      <c r="C2" s="2" t="s">
        <v>12</v>
      </c>
      <c r="D2">
        <f>AVERAGE(Shuming!J2,JJ!B2)</f>
        <v>4</v>
      </c>
      <c r="E2">
        <f>AVERAGE(Shuming!K2,JJ!C2)</f>
        <v>5</v>
      </c>
      <c r="F2">
        <f>AVERAGE(Shuming!L2,JJ!D2)</f>
        <v>4</v>
      </c>
      <c r="G2">
        <f>AVERAGE(Shuming!M2,JJ!E2)</f>
        <v>13</v>
      </c>
      <c r="H2">
        <v>0.25</v>
      </c>
      <c r="I2">
        <v>0.23699999999999999</v>
      </c>
    </row>
    <row r="3" spans="1:9" ht="25" customHeight="1" x14ac:dyDescent="0.15">
      <c r="A3">
        <v>1</v>
      </c>
      <c r="B3" s="3" t="s">
        <v>16</v>
      </c>
      <c r="C3" s="2" t="s">
        <v>9</v>
      </c>
      <c r="D3">
        <f>AVERAGE(Shuming!N2,JJ!F2)</f>
        <v>5</v>
      </c>
      <c r="E3">
        <f>AVERAGE(Shuming!O2,JJ!G2)</f>
        <v>5</v>
      </c>
      <c r="F3">
        <f>AVERAGE(Shuming!P2,JJ!H2)</f>
        <v>5</v>
      </c>
      <c r="G3">
        <f>AVERAGE(Shuming!Q2,JJ!I2)</f>
        <v>15</v>
      </c>
      <c r="H3">
        <v>0.85899999999999999</v>
      </c>
      <c r="I3">
        <v>2.27</v>
      </c>
    </row>
    <row r="4" spans="1:9" ht="42" x14ac:dyDescent="0.15">
      <c r="A4">
        <v>2</v>
      </c>
      <c r="B4" s="3" t="s">
        <v>17</v>
      </c>
      <c r="C4" s="2" t="s">
        <v>12</v>
      </c>
      <c r="D4">
        <f>AVERAGE(Shuming!J3,JJ!B3)</f>
        <v>3</v>
      </c>
      <c r="E4">
        <f>AVERAGE(Shuming!K3,JJ!C3)</f>
        <v>5</v>
      </c>
      <c r="F4">
        <f>AVERAGE(Shuming!L3,JJ!D3)</f>
        <v>3</v>
      </c>
      <c r="G4">
        <f>AVERAGE(Shuming!M3,JJ!E3)</f>
        <v>11</v>
      </c>
      <c r="H4">
        <v>0.41099999999999998</v>
      </c>
      <c r="I4">
        <v>0.14799999999999999</v>
      </c>
    </row>
    <row r="5" spans="1:9" ht="42" x14ac:dyDescent="0.15">
      <c r="A5">
        <v>2</v>
      </c>
      <c r="B5" s="3" t="s">
        <v>17</v>
      </c>
      <c r="C5" s="2" t="s">
        <v>9</v>
      </c>
      <c r="D5">
        <f>AVERAGE(Shuming!N3,JJ!F3)</f>
        <v>5</v>
      </c>
      <c r="E5">
        <f>AVERAGE(Shuming!O3,JJ!G3)</f>
        <v>5</v>
      </c>
      <c r="F5">
        <f>AVERAGE(Shuming!P3,JJ!H3)</f>
        <v>5</v>
      </c>
      <c r="G5">
        <f>AVERAGE(Shuming!Q3,JJ!I3)</f>
        <v>15</v>
      </c>
      <c r="H5">
        <v>0.57799999999999996</v>
      </c>
      <c r="I5">
        <v>2.6110000000000002</v>
      </c>
    </row>
    <row r="6" spans="1:9" ht="28" x14ac:dyDescent="0.15">
      <c r="A6">
        <v>3</v>
      </c>
      <c r="B6" s="3" t="s">
        <v>18</v>
      </c>
      <c r="C6" s="2" t="s">
        <v>12</v>
      </c>
      <c r="D6">
        <f>AVERAGE(Shuming!J4,JJ!B4)</f>
        <v>5</v>
      </c>
      <c r="E6">
        <f>AVERAGE(Shuming!K4,JJ!C4)</f>
        <v>4</v>
      </c>
      <c r="F6">
        <f>AVERAGE(Shuming!L4,JJ!D4)</f>
        <v>5</v>
      </c>
      <c r="G6">
        <f>AVERAGE(Shuming!M4,JJ!E4)</f>
        <v>14</v>
      </c>
      <c r="H6">
        <v>0.16300000000000001</v>
      </c>
      <c r="I6">
        <v>0.16200000000000001</v>
      </c>
    </row>
    <row r="7" spans="1:9" ht="28" x14ac:dyDescent="0.15">
      <c r="A7">
        <v>3</v>
      </c>
      <c r="B7" s="3" t="s">
        <v>18</v>
      </c>
      <c r="C7" s="2" t="s">
        <v>9</v>
      </c>
      <c r="D7">
        <f>AVERAGE(Shuming!N4,JJ!F4)</f>
        <v>5</v>
      </c>
      <c r="E7">
        <f>AVERAGE(Shuming!O4,JJ!G4)</f>
        <v>5</v>
      </c>
      <c r="F7">
        <f>AVERAGE(Shuming!P4,JJ!H4)</f>
        <v>5</v>
      </c>
      <c r="G7">
        <f>AVERAGE(Shuming!Q4,JJ!I4)</f>
        <v>15</v>
      </c>
      <c r="H7">
        <v>0.95599999999999996</v>
      </c>
      <c r="I7">
        <v>2.5219999999999998</v>
      </c>
    </row>
    <row r="8" spans="1:9" ht="28" x14ac:dyDescent="0.15">
      <c r="A8">
        <v>4</v>
      </c>
      <c r="B8" s="3" t="s">
        <v>19</v>
      </c>
      <c r="C8" s="2" t="s">
        <v>12</v>
      </c>
      <c r="D8">
        <f>AVERAGE(Shuming!J5,JJ!B5)</f>
        <v>5</v>
      </c>
      <c r="E8">
        <f>AVERAGE(Shuming!K5,JJ!C5)</f>
        <v>3</v>
      </c>
      <c r="F8">
        <f>AVERAGE(Shuming!L5,JJ!D5)</f>
        <v>5</v>
      </c>
      <c r="G8">
        <f>AVERAGE(Shuming!M5,JJ!E5)</f>
        <v>13</v>
      </c>
      <c r="H8">
        <v>0.23100000000000001</v>
      </c>
      <c r="I8">
        <v>0.13700000000000001</v>
      </c>
    </row>
    <row r="9" spans="1:9" ht="28" x14ac:dyDescent="0.15">
      <c r="A9">
        <v>4</v>
      </c>
      <c r="B9" s="3" t="s">
        <v>19</v>
      </c>
      <c r="C9" s="2" t="s">
        <v>9</v>
      </c>
      <c r="D9">
        <f>AVERAGE(Shuming!N5,JJ!F5)</f>
        <v>5</v>
      </c>
      <c r="E9">
        <f>AVERAGE(Shuming!O5,JJ!G5)</f>
        <v>5</v>
      </c>
      <c r="F9">
        <f>AVERAGE(Shuming!P5,JJ!H5)</f>
        <v>5</v>
      </c>
      <c r="G9">
        <f>AVERAGE(Shuming!Q5,JJ!I5)</f>
        <v>15</v>
      </c>
      <c r="H9">
        <v>0.93600000000000005</v>
      </c>
      <c r="I9">
        <v>3.2330000000000001</v>
      </c>
    </row>
    <row r="10" spans="1:9" ht="28" x14ac:dyDescent="0.15">
      <c r="A10">
        <v>5</v>
      </c>
      <c r="B10" s="3" t="s">
        <v>20</v>
      </c>
      <c r="C10" s="2" t="s">
        <v>12</v>
      </c>
      <c r="D10">
        <f>AVERAGE(Shuming!J6,JJ!B6)</f>
        <v>5</v>
      </c>
      <c r="E10">
        <f>AVERAGE(Shuming!K6,JJ!C6)</f>
        <v>5</v>
      </c>
      <c r="F10">
        <f>AVERAGE(Shuming!L6,JJ!D6)</f>
        <v>5</v>
      </c>
      <c r="G10">
        <f>AVERAGE(Shuming!M6,JJ!E6)</f>
        <v>15</v>
      </c>
      <c r="H10">
        <v>0.30099999999999999</v>
      </c>
      <c r="I10">
        <v>0.19800000000000001</v>
      </c>
    </row>
    <row r="11" spans="1:9" ht="28" x14ac:dyDescent="0.15">
      <c r="A11">
        <v>5</v>
      </c>
      <c r="B11" s="3" t="s">
        <v>20</v>
      </c>
      <c r="C11" s="2" t="s">
        <v>9</v>
      </c>
      <c r="D11">
        <f>AVERAGE(Shuming!N6,JJ!F6)</f>
        <v>5</v>
      </c>
      <c r="E11">
        <f>AVERAGE(Shuming!O6,JJ!G6)</f>
        <v>5</v>
      </c>
      <c r="F11">
        <f>AVERAGE(Shuming!P6,JJ!H6)</f>
        <v>5</v>
      </c>
      <c r="G11">
        <f>AVERAGE(Shuming!Q6,JJ!I6)</f>
        <v>15</v>
      </c>
      <c r="H11">
        <v>0.85299999999999998</v>
      </c>
      <c r="I11">
        <v>2.573</v>
      </c>
    </row>
    <row r="12" spans="1:9" ht="28" x14ac:dyDescent="0.15">
      <c r="A12">
        <v>6</v>
      </c>
      <c r="B12" s="3" t="s">
        <v>21</v>
      </c>
      <c r="C12" s="2" t="s">
        <v>12</v>
      </c>
      <c r="D12">
        <f>AVERAGE(Shuming!J7,JJ!B7)</f>
        <v>4</v>
      </c>
      <c r="E12">
        <f>AVERAGE(Shuming!K7,JJ!C7)</f>
        <v>4</v>
      </c>
      <c r="F12">
        <f>AVERAGE(Shuming!L7,JJ!D7)</f>
        <v>5</v>
      </c>
      <c r="G12">
        <f>AVERAGE(Shuming!M7,JJ!E7)</f>
        <v>13</v>
      </c>
      <c r="H12">
        <v>0.317</v>
      </c>
      <c r="I12">
        <v>0.18</v>
      </c>
    </row>
    <row r="13" spans="1:9" ht="28" x14ac:dyDescent="0.15">
      <c r="A13">
        <v>6</v>
      </c>
      <c r="B13" s="3" t="s">
        <v>21</v>
      </c>
      <c r="C13" s="2" t="s">
        <v>9</v>
      </c>
      <c r="D13">
        <f>AVERAGE(Shuming!N7,JJ!F7)</f>
        <v>5</v>
      </c>
      <c r="E13">
        <f>AVERAGE(Shuming!O7,JJ!G7)</f>
        <v>5</v>
      </c>
      <c r="F13">
        <f>AVERAGE(Shuming!P7,JJ!H7)</f>
        <v>5</v>
      </c>
      <c r="G13">
        <f>AVERAGE(Shuming!Q7,JJ!I7)</f>
        <v>15</v>
      </c>
      <c r="H13">
        <v>0.68300000000000005</v>
      </c>
      <c r="I13">
        <v>3.1659999999999999</v>
      </c>
    </row>
    <row r="14" spans="1:9" ht="42" x14ac:dyDescent="0.15">
      <c r="A14">
        <v>7</v>
      </c>
      <c r="B14" s="3" t="s">
        <v>22</v>
      </c>
      <c r="C14" s="2" t="s">
        <v>12</v>
      </c>
      <c r="D14">
        <f>AVERAGE(Shuming!J8,JJ!B8)</f>
        <v>0</v>
      </c>
      <c r="E14">
        <f>AVERAGE(Shuming!K8,JJ!C8)</f>
        <v>1</v>
      </c>
      <c r="F14">
        <f>AVERAGE(Shuming!L8,JJ!D8)</f>
        <v>1</v>
      </c>
      <c r="G14">
        <f>AVERAGE(Shuming!M8,JJ!E8)</f>
        <v>2</v>
      </c>
      <c r="H14">
        <v>0.32</v>
      </c>
      <c r="I14">
        <v>0.158</v>
      </c>
    </row>
    <row r="15" spans="1:9" ht="42" x14ac:dyDescent="0.15">
      <c r="A15">
        <v>7</v>
      </c>
      <c r="B15" s="3" t="s">
        <v>22</v>
      </c>
      <c r="C15" s="2" t="s">
        <v>9</v>
      </c>
      <c r="D15">
        <f>AVERAGE(Shuming!N8,JJ!F8)</f>
        <v>5</v>
      </c>
      <c r="E15">
        <f>AVERAGE(Shuming!O8,JJ!G8)</f>
        <v>5</v>
      </c>
      <c r="F15">
        <f>AVERAGE(Shuming!P8,JJ!H8)</f>
        <v>5</v>
      </c>
      <c r="G15">
        <f>AVERAGE(Shuming!Q8,JJ!I8)</f>
        <v>15</v>
      </c>
      <c r="H15">
        <v>0.92600000000000005</v>
      </c>
      <c r="I15">
        <v>2.6760000000000002</v>
      </c>
    </row>
    <row r="16" spans="1:9" ht="28" x14ac:dyDescent="0.15">
      <c r="A16">
        <v>8</v>
      </c>
      <c r="B16" s="3" t="s">
        <v>23</v>
      </c>
      <c r="C16" s="2" t="s">
        <v>12</v>
      </c>
      <c r="D16">
        <f>AVERAGE(Shuming!J9,JJ!B9)</f>
        <v>0</v>
      </c>
      <c r="E16">
        <f>AVERAGE(Shuming!K9,JJ!C9)</f>
        <v>1</v>
      </c>
      <c r="F16">
        <f>AVERAGE(Shuming!L9,JJ!D9)</f>
        <v>1</v>
      </c>
      <c r="G16">
        <f>AVERAGE(Shuming!M9,JJ!E9)</f>
        <v>2</v>
      </c>
      <c r="H16">
        <v>0.26500000000000001</v>
      </c>
      <c r="I16">
        <v>0.152</v>
      </c>
    </row>
    <row r="17" spans="1:9" ht="28" x14ac:dyDescent="0.15">
      <c r="A17">
        <v>8</v>
      </c>
      <c r="B17" s="3" t="s">
        <v>23</v>
      </c>
      <c r="C17" s="2" t="s">
        <v>9</v>
      </c>
      <c r="D17">
        <f>AVERAGE(Shuming!N9,JJ!F9)</f>
        <v>5</v>
      </c>
      <c r="E17">
        <f>AVERAGE(Shuming!O9,JJ!G9)</f>
        <v>5</v>
      </c>
      <c r="F17">
        <f>AVERAGE(Shuming!P9,JJ!H9)</f>
        <v>5</v>
      </c>
      <c r="G17">
        <f>AVERAGE(Shuming!Q9,JJ!I9)</f>
        <v>15</v>
      </c>
      <c r="H17">
        <v>0.87</v>
      </c>
      <c r="I17">
        <v>1.9179999999999999</v>
      </c>
    </row>
    <row r="18" spans="1:9" x14ac:dyDescent="0.15">
      <c r="A18">
        <v>9</v>
      </c>
      <c r="B18" s="4" t="s">
        <v>24</v>
      </c>
      <c r="C18" s="2" t="s">
        <v>12</v>
      </c>
      <c r="D18">
        <f>AVERAGE(Shuming!J10,JJ!B10)</f>
        <v>0</v>
      </c>
      <c r="E18">
        <f>AVERAGE(Shuming!K10,JJ!C10)</f>
        <v>1</v>
      </c>
      <c r="F18">
        <f>AVERAGE(Shuming!L10,JJ!D10)</f>
        <v>1</v>
      </c>
      <c r="G18">
        <f>AVERAGE(Shuming!M10,JJ!E10)</f>
        <v>2</v>
      </c>
      <c r="H18">
        <v>0.124</v>
      </c>
      <c r="I18">
        <v>0.15</v>
      </c>
    </row>
    <row r="19" spans="1:9" x14ac:dyDescent="0.15">
      <c r="A19">
        <v>9</v>
      </c>
      <c r="B19" s="4" t="s">
        <v>24</v>
      </c>
      <c r="C19" s="2" t="s">
        <v>9</v>
      </c>
      <c r="D19">
        <f>AVERAGE(Shuming!N10,JJ!F10)</f>
        <v>5</v>
      </c>
      <c r="E19">
        <f>AVERAGE(Shuming!O10,JJ!G10)</f>
        <v>5</v>
      </c>
      <c r="F19">
        <f>AVERAGE(Shuming!P10,JJ!H10)</f>
        <v>5</v>
      </c>
      <c r="G19">
        <f>AVERAGE(Shuming!Q10,JJ!I10)</f>
        <v>15</v>
      </c>
      <c r="H19">
        <v>0.93200000000000005</v>
      </c>
      <c r="I19">
        <v>1.1879999999999999</v>
      </c>
    </row>
    <row r="20" spans="1:9" ht="42" x14ac:dyDescent="0.15">
      <c r="A20">
        <v>10</v>
      </c>
      <c r="B20" s="3" t="s">
        <v>25</v>
      </c>
      <c r="C20" s="2" t="s">
        <v>12</v>
      </c>
      <c r="D20">
        <f>AVERAGE(Shuming!J11,JJ!B11)</f>
        <v>3</v>
      </c>
      <c r="E20">
        <f>AVERAGE(Shuming!K11,JJ!C11)</f>
        <v>4</v>
      </c>
      <c r="F20">
        <f>AVERAGE(Shuming!L11,JJ!D11)</f>
        <v>4</v>
      </c>
      <c r="G20">
        <f>AVERAGE(Shuming!M11,JJ!E11)</f>
        <v>11</v>
      </c>
      <c r="H20">
        <v>0.26200000000000001</v>
      </c>
      <c r="I20">
        <v>0.193</v>
      </c>
    </row>
    <row r="21" spans="1:9" ht="42" x14ac:dyDescent="0.15">
      <c r="A21">
        <v>10</v>
      </c>
      <c r="B21" s="3" t="s">
        <v>25</v>
      </c>
      <c r="C21" s="2" t="s">
        <v>9</v>
      </c>
      <c r="D21">
        <f>AVERAGE(Shuming!N11,JJ!F11)</f>
        <v>4</v>
      </c>
      <c r="E21">
        <f>AVERAGE(Shuming!O11,JJ!G11)</f>
        <v>4</v>
      </c>
      <c r="F21">
        <f>AVERAGE(Shuming!P11,JJ!H11)</f>
        <v>5</v>
      </c>
      <c r="G21">
        <f>AVERAGE(Shuming!Q11,JJ!I11)</f>
        <v>13</v>
      </c>
      <c r="H21">
        <v>0.82</v>
      </c>
      <c r="I21">
        <v>4.03</v>
      </c>
    </row>
  </sheetData>
  <autoFilter ref="A1:H21" xr:uid="{C0A394B9-5402-C548-AF95-9B906B1554EA}">
    <sortState xmlns:xlrd2="http://schemas.microsoft.com/office/spreadsheetml/2017/richdata2" ref="A2:H21">
      <sortCondition ref="A1:A21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Shuming</vt:lpstr>
      <vt:lpstr>JJ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Junjie</cp:lastModifiedBy>
  <dcterms:modified xsi:type="dcterms:W3CDTF">2023-11-05T21:42:13Z</dcterms:modified>
</cp:coreProperties>
</file>